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ktop\Arquivos_de_Backup\Me\Universidade-UFSC\Curso_de_Engenharia_de_Controle_e_Automação\Sexta-fase\Metrologia\experimento2\"/>
    </mc:Choice>
  </mc:AlternateContent>
  <xr:revisionPtr revIDLastSave="0" documentId="13_ncr:1_{1FEFAC83-AA7E-43C5-BF78-AA423A04AB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0" i="1" l="1"/>
  <c r="K30" i="1"/>
  <c r="J30" i="1"/>
  <c r="C44" i="1"/>
  <c r="C43" i="1"/>
  <c r="K28" i="1"/>
  <c r="L28" i="1"/>
  <c r="J28" i="1"/>
  <c r="K27" i="1"/>
  <c r="J27" i="1"/>
  <c r="C35" i="1"/>
  <c r="D35" i="1"/>
  <c r="B35" i="1"/>
  <c r="C34" i="1"/>
  <c r="C36" i="1" s="1"/>
  <c r="C37" i="1" s="1"/>
  <c r="D34" i="1"/>
  <c r="D36" i="1" s="1"/>
  <c r="D37" i="1" s="1"/>
  <c r="L27" i="1" s="1"/>
  <c r="B34" i="1"/>
  <c r="B36" i="1" s="1"/>
  <c r="B37" i="1" s="1"/>
  <c r="O4" i="1"/>
  <c r="N4" i="1"/>
  <c r="M4" i="1"/>
</calcChain>
</file>

<file path=xl/sharedStrings.xml><?xml version="1.0" encoding="utf-8"?>
<sst xmlns="http://schemas.openxmlformats.org/spreadsheetml/2006/main" count="57" uniqueCount="40">
  <si>
    <t>Numero medidas</t>
  </si>
  <si>
    <t>Garrafa1</t>
  </si>
  <si>
    <t>Peso ref 1</t>
  </si>
  <si>
    <t>Garrafa2</t>
  </si>
  <si>
    <t>Peso ref2</t>
  </si>
  <si>
    <t>Garrafa3</t>
  </si>
  <si>
    <t>Peso ref3</t>
  </si>
  <si>
    <t>Media Garrafa 1</t>
  </si>
  <si>
    <t>Media Garrrafa 2</t>
  </si>
  <si>
    <t>Media Garrafa 3</t>
  </si>
  <si>
    <t>Media Ref 1</t>
  </si>
  <si>
    <t>Media ref 2</t>
  </si>
  <si>
    <t>Media ref 3</t>
  </si>
  <si>
    <t>Massas Padrão</t>
  </si>
  <si>
    <t>m1</t>
  </si>
  <si>
    <t>m2</t>
  </si>
  <si>
    <t>m3</t>
  </si>
  <si>
    <t>Média</t>
  </si>
  <si>
    <t>Desvio Padrão</t>
  </si>
  <si>
    <t>Tendência</t>
  </si>
  <si>
    <t>Correção</t>
  </si>
  <si>
    <t>Correções</t>
  </si>
  <si>
    <t>Resolução(g)</t>
  </si>
  <si>
    <t>Fontes de Incerteza</t>
  </si>
  <si>
    <t>Tipo</t>
  </si>
  <si>
    <t>Componente Aleatória</t>
  </si>
  <si>
    <t>Resolução da Balança</t>
  </si>
  <si>
    <t>Variação dos mensurandos</t>
  </si>
  <si>
    <t>-</t>
  </si>
  <si>
    <t>In</t>
  </si>
  <si>
    <t>I300</t>
  </si>
  <si>
    <t>I150</t>
  </si>
  <si>
    <t>Calibração da Balança</t>
  </si>
  <si>
    <t>Calibração</t>
  </si>
  <si>
    <t>Faixa</t>
  </si>
  <si>
    <t>Graus de Liberdade</t>
  </si>
  <si>
    <t>Resolução Balança</t>
  </si>
  <si>
    <t>R(g)</t>
  </si>
  <si>
    <t>a</t>
  </si>
  <si>
    <t>Incerteza Padrão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</si>
</sst>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sz val="11"/>
      <color theme="1" tint="4.9989318521683403E-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4" fillId="5" borderId="5" xfId="0" applyFont="1" applyFill="1" applyBorder="1" applyAlignment="1">
      <alignment horizontal="right" vertical="center" wrapText="1"/>
    </xf>
    <xf numFmtId="0" fontId="4" fillId="5" borderId="6" xfId="0" applyFont="1" applyFill="1" applyBorder="1" applyAlignment="1">
      <alignment horizontal="right" vertical="center" wrapText="1"/>
    </xf>
    <xf numFmtId="0" fontId="4" fillId="5" borderId="7" xfId="0" applyFont="1" applyFill="1" applyBorder="1" applyAlignment="1">
      <alignment horizontal="right" vertical="center" wrapText="1"/>
    </xf>
    <xf numFmtId="0" fontId="3" fillId="0" borderId="8" xfId="0" applyFont="1" applyBorder="1" applyAlignment="1">
      <alignment wrapText="1"/>
    </xf>
    <xf numFmtId="0" fontId="3" fillId="0" borderId="8" xfId="0" applyFont="1" applyBorder="1" applyAlignment="1">
      <alignment horizontal="right" wrapText="1"/>
    </xf>
    <xf numFmtId="0" fontId="4" fillId="6" borderId="9" xfId="0" applyFont="1" applyFill="1" applyBorder="1" applyAlignment="1">
      <alignment horizontal="right" vertical="center" wrapText="1"/>
    </xf>
    <xf numFmtId="0" fontId="4" fillId="6" borderId="10" xfId="0" applyFont="1" applyFill="1" applyBorder="1" applyAlignment="1">
      <alignment horizontal="right" vertical="center" wrapText="1"/>
    </xf>
    <xf numFmtId="0" fontId="4" fillId="6" borderId="7" xfId="0" applyFont="1" applyFill="1" applyBorder="1" applyAlignment="1">
      <alignment horizontal="right" vertical="center" wrapText="1"/>
    </xf>
    <xf numFmtId="0" fontId="3" fillId="6" borderId="10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4" fillId="5" borderId="11" xfId="0" applyFont="1" applyFill="1" applyBorder="1" applyAlignment="1">
      <alignment horizontal="right" vertical="center" wrapText="1"/>
    </xf>
    <xf numFmtId="0" fontId="4" fillId="5" borderId="12" xfId="0" applyFont="1" applyFill="1" applyBorder="1" applyAlignment="1">
      <alignment horizontal="right" vertical="center" wrapText="1"/>
    </xf>
    <xf numFmtId="0" fontId="3" fillId="5" borderId="12" xfId="0" applyFont="1" applyFill="1" applyBorder="1" applyAlignment="1">
      <alignment vertical="center" wrapText="1"/>
    </xf>
    <xf numFmtId="0" fontId="3" fillId="5" borderId="13" xfId="0" applyFont="1" applyFill="1" applyBorder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0" borderId="0" xfId="0" applyFill="1"/>
    <xf numFmtId="0" fontId="1" fillId="0" borderId="0" xfId="0" applyFont="1" applyFill="1"/>
    <xf numFmtId="0" fontId="5" fillId="9" borderId="0" xfId="0" applyFont="1" applyFill="1"/>
    <xf numFmtId="0" fontId="5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11" borderId="0" xfId="0" applyFill="1"/>
    <xf numFmtId="0" fontId="0" fillId="12" borderId="0" xfId="0" applyFill="1"/>
    <xf numFmtId="0" fontId="0" fillId="0" borderId="0" xfId="0" applyBorder="1"/>
    <xf numFmtId="0" fontId="4" fillId="13" borderId="0" xfId="0" applyFont="1" applyFill="1" applyBorder="1" applyAlignment="1">
      <alignment horizontal="right" vertical="center" wrapText="1"/>
    </xf>
    <xf numFmtId="0" fontId="0" fillId="13" borderId="0" xfId="0" applyFill="1" applyBorder="1"/>
    <xf numFmtId="0" fontId="5" fillId="10" borderId="0" xfId="0" applyFont="1" applyFill="1" applyBorder="1"/>
    <xf numFmtId="0" fontId="0" fillId="10" borderId="0" xfId="0" applyFill="1" applyBorder="1"/>
    <xf numFmtId="0" fontId="0" fillId="14" borderId="0" xfId="0" applyFill="1"/>
    <xf numFmtId="0" fontId="0" fillId="15" borderId="0" xfId="0" applyFill="1"/>
    <xf numFmtId="0" fontId="0" fillId="1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tabSelected="1" topLeftCell="A19" workbookViewId="0">
      <selection activeCell="B27" sqref="B27:D27"/>
    </sheetView>
  </sheetViews>
  <sheetFormatPr defaultRowHeight="15" x14ac:dyDescent="0.25"/>
  <cols>
    <col min="1" max="1" width="19.42578125" customWidth="1"/>
    <col min="2" max="2" width="19.28515625" customWidth="1"/>
    <col min="4" max="4" width="13" customWidth="1"/>
    <col min="6" max="6" width="11.28515625" customWidth="1"/>
    <col min="8" max="8" width="26.42578125" customWidth="1"/>
    <col min="9" max="9" width="23.28515625" customWidth="1"/>
    <col min="10" max="10" width="22.42578125" customWidth="1"/>
    <col min="11" max="11" width="16.85546875" customWidth="1"/>
    <col min="12" max="12" width="18.140625" customWidth="1"/>
  </cols>
  <sheetData>
    <row r="1" spans="2:18" ht="15.75" thickBot="1" x14ac:dyDescent="0.3"/>
    <row r="2" spans="2:18" ht="27" thickBot="1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  <c r="I2" s="4"/>
      <c r="M2" s="5" t="s">
        <v>7</v>
      </c>
      <c r="N2" s="5" t="s">
        <v>8</v>
      </c>
      <c r="O2" s="5" t="s">
        <v>9</v>
      </c>
      <c r="P2" s="6" t="s">
        <v>10</v>
      </c>
      <c r="Q2" s="6" t="s">
        <v>11</v>
      </c>
      <c r="R2" s="6" t="s">
        <v>12</v>
      </c>
    </row>
    <row r="3" spans="2:18" ht="15.75" thickBot="1" x14ac:dyDescent="0.3">
      <c r="B3" s="7">
        <v>1</v>
      </c>
      <c r="C3" s="8">
        <v>247</v>
      </c>
      <c r="D3" s="8">
        <v>299</v>
      </c>
      <c r="E3" s="8">
        <v>365</v>
      </c>
      <c r="F3" s="8">
        <v>436</v>
      </c>
      <c r="G3" s="8">
        <v>2050</v>
      </c>
      <c r="H3" s="9">
        <v>2448</v>
      </c>
      <c r="I3" s="10"/>
      <c r="L3" t="s">
        <v>17</v>
      </c>
      <c r="M3" s="11">
        <v>247</v>
      </c>
      <c r="N3" s="11">
        <v>365</v>
      </c>
      <c r="O3" s="11">
        <v>2052</v>
      </c>
      <c r="P3" s="11">
        <v>298.5</v>
      </c>
      <c r="Q3" s="11">
        <v>437</v>
      </c>
      <c r="R3" s="11">
        <v>2447</v>
      </c>
    </row>
    <row r="4" spans="2:18" ht="15.75" thickBot="1" x14ac:dyDescent="0.3">
      <c r="B4" s="12">
        <v>2</v>
      </c>
      <c r="C4" s="13">
        <v>247</v>
      </c>
      <c r="D4" s="13">
        <v>299</v>
      </c>
      <c r="E4" s="13">
        <v>365</v>
      </c>
      <c r="F4" s="13">
        <v>437</v>
      </c>
      <c r="G4" s="13">
        <v>2051</v>
      </c>
      <c r="H4" s="14">
        <v>2447</v>
      </c>
      <c r="I4" s="10"/>
      <c r="L4" t="s">
        <v>18</v>
      </c>
      <c r="M4" s="10">
        <f>_xlfn.STDEV.S(C3:C17)</f>
        <v>0.41403933560541262</v>
      </c>
      <c r="N4">
        <f>_xlfn.STDEV.S(E3:E17)</f>
        <v>0.50709255283711008</v>
      </c>
      <c r="O4" s="10">
        <f>_xlfn.STDEV.S(G3:G17)</f>
        <v>1.1126972805283735</v>
      </c>
      <c r="P4" s="10"/>
      <c r="Q4" s="10"/>
      <c r="R4" s="10"/>
    </row>
    <row r="5" spans="2:18" ht="15.75" thickBot="1" x14ac:dyDescent="0.3">
      <c r="B5" s="7">
        <v>3</v>
      </c>
      <c r="C5" s="8">
        <v>247</v>
      </c>
      <c r="D5" s="8">
        <v>298</v>
      </c>
      <c r="E5" s="8">
        <v>366</v>
      </c>
      <c r="F5" s="8">
        <v>437</v>
      </c>
      <c r="G5" s="8">
        <v>2052</v>
      </c>
      <c r="H5" s="9">
        <v>2446</v>
      </c>
      <c r="I5" s="10"/>
      <c r="L5" t="s">
        <v>19</v>
      </c>
      <c r="M5" s="10"/>
      <c r="N5" s="10"/>
      <c r="O5" s="10"/>
      <c r="P5" s="10"/>
      <c r="Q5" s="10"/>
      <c r="R5" s="10"/>
    </row>
    <row r="6" spans="2:18" ht="15.75" thickBot="1" x14ac:dyDescent="0.3">
      <c r="B6" s="12">
        <v>4</v>
      </c>
      <c r="C6" s="13">
        <v>247</v>
      </c>
      <c r="D6" s="13">
        <v>298</v>
      </c>
      <c r="E6" s="13">
        <v>366</v>
      </c>
      <c r="F6" s="13">
        <v>437</v>
      </c>
      <c r="G6" s="13">
        <v>2052</v>
      </c>
      <c r="H6" s="14">
        <v>2447</v>
      </c>
      <c r="I6" s="10"/>
      <c r="L6" t="s">
        <v>20</v>
      </c>
      <c r="M6" s="10"/>
      <c r="N6" s="10"/>
      <c r="O6" s="10"/>
      <c r="P6" s="10"/>
      <c r="Q6" s="10"/>
      <c r="R6" s="10"/>
    </row>
    <row r="7" spans="2:18" ht="15.75" thickBot="1" x14ac:dyDescent="0.3">
      <c r="B7" s="7">
        <v>5</v>
      </c>
      <c r="C7" s="8">
        <v>246</v>
      </c>
      <c r="D7" s="8">
        <v>299</v>
      </c>
      <c r="E7" s="8">
        <v>365</v>
      </c>
      <c r="F7" s="8">
        <v>436</v>
      </c>
      <c r="G7" s="8">
        <v>2051</v>
      </c>
      <c r="H7" s="9">
        <v>2447</v>
      </c>
      <c r="I7" s="10"/>
      <c r="M7" s="10"/>
      <c r="N7" s="10"/>
      <c r="O7" s="10"/>
      <c r="P7" s="10"/>
      <c r="Q7" s="10"/>
      <c r="R7" s="10"/>
    </row>
    <row r="8" spans="2:18" ht="15.75" thickBot="1" x14ac:dyDescent="0.3">
      <c r="B8" s="12">
        <v>6</v>
      </c>
      <c r="C8" s="13">
        <v>246</v>
      </c>
      <c r="D8" s="13">
        <v>298</v>
      </c>
      <c r="E8" s="13">
        <v>365</v>
      </c>
      <c r="F8" s="15"/>
      <c r="G8" s="13">
        <v>2053</v>
      </c>
      <c r="H8" s="16"/>
      <c r="I8" s="10"/>
      <c r="M8" s="10"/>
      <c r="N8" s="10"/>
      <c r="O8" s="10"/>
      <c r="P8" s="10"/>
      <c r="Q8" s="10"/>
      <c r="R8" s="10"/>
    </row>
    <row r="9" spans="2:18" ht="15.75" thickBot="1" x14ac:dyDescent="0.3">
      <c r="B9" s="7">
        <v>7</v>
      </c>
      <c r="C9" s="8">
        <v>246</v>
      </c>
      <c r="D9" s="17"/>
      <c r="E9" s="8">
        <v>365</v>
      </c>
      <c r="F9" s="17"/>
      <c r="G9" s="8">
        <v>2051</v>
      </c>
      <c r="H9" s="18"/>
      <c r="I9" s="10"/>
      <c r="M9" s="10"/>
      <c r="N9" s="10"/>
      <c r="O9" s="10"/>
      <c r="P9" s="10"/>
      <c r="Q9" s="10"/>
      <c r="R9" s="10"/>
    </row>
    <row r="10" spans="2:18" ht="15.75" thickBot="1" x14ac:dyDescent="0.3">
      <c r="B10" s="12">
        <v>8</v>
      </c>
      <c r="C10" s="13">
        <v>247</v>
      </c>
      <c r="D10" s="15"/>
      <c r="E10" s="13">
        <v>366</v>
      </c>
      <c r="F10" s="15"/>
      <c r="G10" s="13">
        <v>2052</v>
      </c>
      <c r="H10" s="16"/>
      <c r="I10" s="10"/>
      <c r="M10" s="10"/>
      <c r="N10" s="10"/>
      <c r="O10" s="10"/>
      <c r="P10" s="10"/>
      <c r="Q10" s="10"/>
      <c r="R10" s="10"/>
    </row>
    <row r="11" spans="2:18" ht="15.75" thickBot="1" x14ac:dyDescent="0.3">
      <c r="B11" s="7">
        <v>9</v>
      </c>
      <c r="C11" s="8">
        <v>247</v>
      </c>
      <c r="D11" s="17"/>
      <c r="E11" s="8">
        <v>365</v>
      </c>
      <c r="F11" s="17"/>
      <c r="G11" s="8">
        <v>2054</v>
      </c>
      <c r="H11" s="18"/>
      <c r="I11" s="10"/>
      <c r="M11" s="10"/>
      <c r="N11" s="10"/>
      <c r="O11" s="10"/>
      <c r="P11" s="10"/>
      <c r="Q11" s="10"/>
      <c r="R11" s="10"/>
    </row>
    <row r="12" spans="2:18" ht="15.75" thickBot="1" x14ac:dyDescent="0.3">
      <c r="B12" s="12">
        <v>10</v>
      </c>
      <c r="C12" s="13">
        <v>247</v>
      </c>
      <c r="D12" s="15"/>
      <c r="E12" s="13">
        <v>366</v>
      </c>
      <c r="F12" s="15"/>
      <c r="G12" s="13">
        <v>2052</v>
      </c>
      <c r="H12" s="16"/>
      <c r="I12" s="10"/>
      <c r="M12" s="10"/>
      <c r="N12" s="10"/>
      <c r="O12" s="10"/>
      <c r="P12" s="10"/>
      <c r="Q12" s="10"/>
      <c r="R12" s="10"/>
    </row>
    <row r="13" spans="2:18" ht="15.75" thickBot="1" x14ac:dyDescent="0.3">
      <c r="B13" s="7">
        <v>11</v>
      </c>
      <c r="C13" s="8">
        <v>247</v>
      </c>
      <c r="D13" s="17"/>
      <c r="E13" s="8">
        <v>366</v>
      </c>
      <c r="F13" s="17"/>
      <c r="G13" s="8">
        <v>2051</v>
      </c>
      <c r="H13" s="18"/>
      <c r="I13" s="10"/>
      <c r="M13" s="10"/>
      <c r="N13" s="10"/>
      <c r="O13" s="10"/>
      <c r="P13" s="10"/>
      <c r="Q13" s="10"/>
      <c r="R13" s="10"/>
    </row>
    <row r="14" spans="2:18" ht="15.75" thickBot="1" x14ac:dyDescent="0.3">
      <c r="B14" s="12">
        <v>12</v>
      </c>
      <c r="C14" s="13">
        <v>247</v>
      </c>
      <c r="D14" s="15"/>
      <c r="E14" s="13">
        <v>366</v>
      </c>
      <c r="F14" s="15"/>
      <c r="G14" s="13">
        <v>2050</v>
      </c>
      <c r="H14" s="16"/>
      <c r="I14" s="10"/>
      <c r="M14" s="10"/>
      <c r="N14" s="10"/>
      <c r="O14" s="10"/>
      <c r="P14" s="10"/>
      <c r="Q14" s="10"/>
      <c r="R14" s="10"/>
    </row>
    <row r="15" spans="2:18" ht="15.75" thickBot="1" x14ac:dyDescent="0.3">
      <c r="B15" s="7">
        <v>13</v>
      </c>
      <c r="C15" s="8">
        <v>247</v>
      </c>
      <c r="D15" s="17"/>
      <c r="E15" s="8">
        <v>365</v>
      </c>
      <c r="F15" s="17"/>
      <c r="G15" s="8">
        <v>2052</v>
      </c>
      <c r="H15" s="18"/>
      <c r="I15" s="10"/>
      <c r="M15" s="10"/>
      <c r="N15" s="10"/>
      <c r="O15" s="10"/>
      <c r="P15" s="10"/>
      <c r="Q15" s="10"/>
      <c r="R15" s="10"/>
    </row>
    <row r="16" spans="2:18" ht="15.75" thickBot="1" x14ac:dyDescent="0.3">
      <c r="B16" s="12">
        <v>14</v>
      </c>
      <c r="C16" s="13">
        <v>247</v>
      </c>
      <c r="D16" s="15"/>
      <c r="E16" s="13">
        <v>365</v>
      </c>
      <c r="F16" s="15"/>
      <c r="G16" s="13">
        <v>2053</v>
      </c>
      <c r="H16" s="16"/>
      <c r="I16" s="10"/>
      <c r="M16" s="10"/>
      <c r="N16" s="10"/>
      <c r="O16" s="10"/>
      <c r="P16" s="10"/>
      <c r="Q16" s="10"/>
      <c r="R16" s="10"/>
    </row>
    <row r="17" spans="1:18" ht="15.75" thickBot="1" x14ac:dyDescent="0.3">
      <c r="B17" s="19">
        <v>15</v>
      </c>
      <c r="C17" s="20">
        <v>247</v>
      </c>
      <c r="D17" s="21"/>
      <c r="E17" s="20">
        <v>365</v>
      </c>
      <c r="F17" s="21"/>
      <c r="G17" s="20">
        <v>2051</v>
      </c>
      <c r="H17" s="22"/>
      <c r="I17" s="10"/>
      <c r="M17" s="10"/>
      <c r="N17" s="10"/>
      <c r="O17" s="10"/>
      <c r="P17" s="10"/>
      <c r="Q17" s="10"/>
      <c r="R17" s="10"/>
    </row>
    <row r="19" spans="1:18" x14ac:dyDescent="0.25">
      <c r="D19" t="s">
        <v>13</v>
      </c>
      <c r="F19" t="s">
        <v>21</v>
      </c>
    </row>
    <row r="20" spans="1:18" x14ac:dyDescent="0.25">
      <c r="D20" t="s">
        <v>14</v>
      </c>
      <c r="E20">
        <v>250</v>
      </c>
    </row>
    <row r="21" spans="1:18" x14ac:dyDescent="0.25">
      <c r="D21" t="s">
        <v>15</v>
      </c>
      <c r="E21">
        <v>365</v>
      </c>
    </row>
    <row r="22" spans="1:18" x14ac:dyDescent="0.25">
      <c r="D22" t="s">
        <v>16</v>
      </c>
      <c r="E22">
        <v>2450</v>
      </c>
    </row>
    <row r="24" spans="1:18" x14ac:dyDescent="0.25">
      <c r="D24" t="s">
        <v>22</v>
      </c>
      <c r="E24">
        <v>1</v>
      </c>
      <c r="M24" s="25"/>
    </row>
    <row r="25" spans="1:18" x14ac:dyDescent="0.25">
      <c r="H25" s="24" t="s">
        <v>23</v>
      </c>
      <c r="I25" s="23"/>
      <c r="J25" s="23"/>
      <c r="K25" s="23"/>
      <c r="L25" s="23"/>
      <c r="M25" s="25"/>
    </row>
    <row r="26" spans="1:18" x14ac:dyDescent="0.25">
      <c r="A26" s="31"/>
      <c r="B26" s="31" t="s">
        <v>33</v>
      </c>
      <c r="C26" s="31"/>
      <c r="D26" s="31"/>
      <c r="H26" s="24" t="s">
        <v>24</v>
      </c>
      <c r="I26" s="23"/>
      <c r="J26" s="24" t="s">
        <v>29</v>
      </c>
      <c r="K26" s="24" t="s">
        <v>30</v>
      </c>
      <c r="L26" s="24" t="s">
        <v>31</v>
      </c>
      <c r="M26" s="25"/>
    </row>
    <row r="27" spans="1:18" x14ac:dyDescent="0.25">
      <c r="A27" s="32" t="s">
        <v>34</v>
      </c>
      <c r="B27" s="35">
        <v>250</v>
      </c>
      <c r="C27" s="35">
        <v>365</v>
      </c>
      <c r="D27" s="35">
        <v>2050</v>
      </c>
      <c r="H27" s="30" t="s">
        <v>32</v>
      </c>
      <c r="I27" s="29" t="s">
        <v>20</v>
      </c>
      <c r="J27" s="29">
        <f>B37</f>
        <v>-48.5</v>
      </c>
      <c r="K27" s="29">
        <f t="shared" ref="K27:L27" si="0">C37</f>
        <v>-71.600000000000023</v>
      </c>
      <c r="L27" s="29">
        <f t="shared" si="0"/>
        <v>-397</v>
      </c>
      <c r="M27" s="26"/>
    </row>
    <row r="28" spans="1:18" x14ac:dyDescent="0.25">
      <c r="A28" s="32"/>
      <c r="B28" s="34">
        <v>299</v>
      </c>
      <c r="C28" s="34">
        <v>436</v>
      </c>
      <c r="D28" s="34">
        <v>2448</v>
      </c>
      <c r="E28" s="33"/>
      <c r="H28" s="30"/>
      <c r="I28" s="29" t="s">
        <v>25</v>
      </c>
      <c r="J28" s="29">
        <f>B35</f>
        <v>0.54772255750516607</v>
      </c>
      <c r="K28" s="29">
        <f t="shared" ref="K28:L28" si="1">C35</f>
        <v>0.54772255750516619</v>
      </c>
      <c r="L28" s="29">
        <f t="shared" si="1"/>
        <v>0.70710678118654757</v>
      </c>
      <c r="M28" s="26"/>
    </row>
    <row r="29" spans="1:18" x14ac:dyDescent="0.25">
      <c r="A29" s="32"/>
      <c r="B29" s="34">
        <v>299</v>
      </c>
      <c r="C29" s="34">
        <v>437</v>
      </c>
      <c r="D29" s="34">
        <v>2447</v>
      </c>
      <c r="E29" s="33"/>
      <c r="H29" s="30" t="s">
        <v>26</v>
      </c>
      <c r="I29" s="29" t="s">
        <v>20</v>
      </c>
      <c r="J29" s="28" t="s">
        <v>28</v>
      </c>
      <c r="K29" s="28" t="s">
        <v>28</v>
      </c>
      <c r="L29" s="28" t="s">
        <v>28</v>
      </c>
      <c r="M29" s="26"/>
    </row>
    <row r="30" spans="1:18" x14ac:dyDescent="0.25">
      <c r="A30" s="32"/>
      <c r="B30" s="34">
        <v>298</v>
      </c>
      <c r="C30" s="34">
        <v>437</v>
      </c>
      <c r="D30" s="34">
        <v>2446</v>
      </c>
      <c r="E30" s="33"/>
      <c r="H30" s="30"/>
      <c r="I30" s="29" t="s">
        <v>25</v>
      </c>
      <c r="J30" s="27">
        <f>C44</f>
        <v>0.28867513459481292</v>
      </c>
      <c r="K30" s="27">
        <f>J30</f>
        <v>0.28867513459481292</v>
      </c>
      <c r="L30" s="27">
        <f>K30</f>
        <v>0.28867513459481292</v>
      </c>
      <c r="M30" s="26"/>
    </row>
    <row r="31" spans="1:18" x14ac:dyDescent="0.25">
      <c r="A31" s="32"/>
      <c r="B31" s="34">
        <v>298</v>
      </c>
      <c r="C31" s="34">
        <v>437</v>
      </c>
      <c r="D31" s="34">
        <v>2447</v>
      </c>
      <c r="E31" s="33"/>
      <c r="H31" s="30" t="s">
        <v>27</v>
      </c>
      <c r="I31" s="29" t="s">
        <v>20</v>
      </c>
      <c r="J31" s="28" t="s">
        <v>28</v>
      </c>
      <c r="K31" s="28" t="s">
        <v>28</v>
      </c>
      <c r="L31" s="28" t="s">
        <v>28</v>
      </c>
    </row>
    <row r="32" spans="1:18" x14ac:dyDescent="0.25">
      <c r="A32" s="32"/>
      <c r="B32" s="34">
        <v>299</v>
      </c>
      <c r="C32" s="34">
        <v>436</v>
      </c>
      <c r="D32" s="34">
        <v>2447</v>
      </c>
      <c r="E32" s="33"/>
      <c r="H32" s="30"/>
      <c r="I32" s="29" t="s">
        <v>25</v>
      </c>
      <c r="J32" s="27"/>
      <c r="K32" s="27"/>
      <c r="L32" s="27"/>
    </row>
    <row r="33" spans="1:4" x14ac:dyDescent="0.25">
      <c r="A33" s="32"/>
      <c r="B33" s="34">
        <v>298</v>
      </c>
      <c r="C33" s="35"/>
      <c r="D33" s="35"/>
    </row>
    <row r="34" spans="1:4" x14ac:dyDescent="0.25">
      <c r="A34" s="32" t="s">
        <v>17</v>
      </c>
      <c r="B34" s="35">
        <f>AVERAGE(B28:B33)</f>
        <v>298.5</v>
      </c>
      <c r="C34" s="35">
        <f t="shared" ref="C34:D34" si="2">AVERAGE(C28:C33)</f>
        <v>436.6</v>
      </c>
      <c r="D34" s="35">
        <f t="shared" si="2"/>
        <v>2447</v>
      </c>
    </row>
    <row r="35" spans="1:4" x14ac:dyDescent="0.25">
      <c r="A35" s="32" t="s">
        <v>18</v>
      </c>
      <c r="B35" s="36">
        <f>_xlfn.STDEV.S(B28:B33)</f>
        <v>0.54772255750516607</v>
      </c>
      <c r="C35" s="36">
        <f t="shared" ref="C35:D35" si="3">_xlfn.STDEV.S(C28:C33)</f>
        <v>0.54772255750516619</v>
      </c>
      <c r="D35" s="36">
        <f t="shared" si="3"/>
        <v>0.70710678118654757</v>
      </c>
    </row>
    <row r="36" spans="1:4" x14ac:dyDescent="0.25">
      <c r="A36" s="32" t="s">
        <v>19</v>
      </c>
      <c r="B36" s="35">
        <f>B34-B27</f>
        <v>48.5</v>
      </c>
      <c r="C36" s="35">
        <f t="shared" ref="C36:D36" si="4">C34-C27</f>
        <v>71.600000000000023</v>
      </c>
      <c r="D36" s="35">
        <f t="shared" si="4"/>
        <v>397</v>
      </c>
    </row>
    <row r="37" spans="1:4" x14ac:dyDescent="0.25">
      <c r="A37" s="32" t="s">
        <v>20</v>
      </c>
      <c r="B37" s="37">
        <f>-B36</f>
        <v>-48.5</v>
      </c>
      <c r="C37" s="37">
        <f t="shared" ref="C37:D37" si="5">-C36</f>
        <v>-71.600000000000023</v>
      </c>
      <c r="D37" s="37">
        <f t="shared" si="5"/>
        <v>-397</v>
      </c>
    </row>
    <row r="38" spans="1:4" x14ac:dyDescent="0.25">
      <c r="A38" s="32" t="s">
        <v>35</v>
      </c>
      <c r="B38" s="37">
        <v>5</v>
      </c>
      <c r="C38" s="37">
        <v>4</v>
      </c>
      <c r="D38" s="37">
        <v>4</v>
      </c>
    </row>
    <row r="39" spans="1:4" x14ac:dyDescent="0.25">
      <c r="A39" s="31"/>
      <c r="B39" s="31" t="s">
        <v>31</v>
      </c>
      <c r="C39" s="31" t="s">
        <v>30</v>
      </c>
      <c r="D39" s="31" t="s">
        <v>29</v>
      </c>
    </row>
    <row r="41" spans="1:4" x14ac:dyDescent="0.25">
      <c r="B41" s="38" t="s">
        <v>36</v>
      </c>
      <c r="C41" s="38"/>
    </row>
    <row r="42" spans="1:4" x14ac:dyDescent="0.25">
      <c r="B42" s="39" t="s">
        <v>37</v>
      </c>
      <c r="C42" s="40">
        <v>1</v>
      </c>
    </row>
    <row r="43" spans="1:4" x14ac:dyDescent="0.25">
      <c r="B43" s="39" t="s">
        <v>38</v>
      </c>
      <c r="C43" s="40">
        <f>C42/2</f>
        <v>0.5</v>
      </c>
    </row>
    <row r="44" spans="1:4" x14ac:dyDescent="0.25">
      <c r="B44" s="39" t="s">
        <v>39</v>
      </c>
      <c r="C44" s="40">
        <f>C43/SQRT(3)</f>
        <v>0.28867513459481292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Victor Anderson Wollinger</cp:lastModifiedBy>
  <dcterms:created xsi:type="dcterms:W3CDTF">2015-06-05T18:19:34Z</dcterms:created>
  <dcterms:modified xsi:type="dcterms:W3CDTF">2026-09-22T01:12:19Z</dcterms:modified>
</cp:coreProperties>
</file>